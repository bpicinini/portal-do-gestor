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98" documentId="11_3B2374C83268BE9077FD16FA4255234A40803D31" xr6:coauthVersionLast="47" xr6:coauthVersionMax="47" xr10:uidLastSave="{5C1378E3-5732-4A56-A40A-22160624B507}"/>
  <bookViews>
    <workbookView xWindow="-120" yWindow="-120" windowWidth="29040" windowHeight="15720" xr2:uid="{00000000-000D-0000-FFFF-FFFF00000000}"/>
  </bookViews>
  <sheets>
    <sheet name="Ativos" sheetId="1" r:id="rId1"/>
    <sheet name="Concluídos" sheetId="2" r:id="rId2"/>
    <sheet name="Indeferi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F8" i="2"/>
</calcChain>
</file>

<file path=xl/sharedStrings.xml><?xml version="1.0" encoding="utf-8"?>
<sst xmlns="http://schemas.openxmlformats.org/spreadsheetml/2006/main" count="657" uniqueCount="253">
  <si>
    <t>Restituições</t>
  </si>
  <si>
    <t>INTIMAÇÃO PENDENTE</t>
  </si>
  <si>
    <t>Task ID</t>
  </si>
  <si>
    <t>Task Name</t>
  </si>
  <si>
    <t>Assignee</t>
  </si>
  <si>
    <t>DIVISÃO (drop down)</t>
  </si>
  <si>
    <t>DESENCAIXE (drop down)</t>
  </si>
  <si>
    <t>IMPOSTOS A RESTITUIR (number)</t>
  </si>
  <si>
    <t>PROCESSO ECAC (short text)</t>
  </si>
  <si>
    <t>Prazo final (date)</t>
  </si>
  <si>
    <t>Latest Comment</t>
  </si>
  <si>
    <t>OBSERVAÇÃO (short text)</t>
  </si>
  <si>
    <t>DATA RETIFICAÇÃO (date)</t>
  </si>
  <si>
    <t>CNPJ (short text)</t>
  </si>
  <si>
    <t>Termo assinado? (checkbox)</t>
  </si>
  <si>
    <t>DATA DE PROTOCOLO (date)</t>
  </si>
  <si>
    <t>MOTIVO RETIFICAÇÃO (drop down)</t>
  </si>
  <si>
    <t>INTIMAÇÃO RESPONDIDA</t>
  </si>
  <si>
    <t>86a5g7tqp</t>
  </si>
  <si>
    <t>OE1260/24 - BLK</t>
  </si>
  <si>
    <t>Bruno Picinini</t>
  </si>
  <si>
    <t>WINNING</t>
  </si>
  <si>
    <t>3S</t>
  </si>
  <si>
    <t>11000.749726/2024-46</t>
  </si>
  <si>
    <t xml:space="preserve">26/12/25: EM 02/12/25 docs juntados pela RFB.  </t>
  </si>
  <si>
    <t>Não temos contrato de câmbio, sendo assim processo 100%.</t>
  </si>
  <si>
    <t>13352623000175</t>
  </si>
  <si>
    <t/>
  </si>
  <si>
    <t>86a3jhu9a</t>
  </si>
  <si>
    <t>OE0949/24 - TATAY</t>
  </si>
  <si>
    <t>11000.749729/2024-80</t>
  </si>
  <si>
    <t xml:space="preserve">26/12/25: Docs recebidos em 08/12/25.   </t>
  </si>
  <si>
    <t>100%</t>
  </si>
  <si>
    <t>Valor do Seguro errado</t>
  </si>
  <si>
    <t>86a3jhncp</t>
  </si>
  <si>
    <t>OE0950/24 - BLK</t>
  </si>
  <si>
    <t>11000.749725/2024-00</t>
  </si>
  <si>
    <t xml:space="preserve">protocolo (1).pdf 29/12/25: Intimação respondida.  </t>
  </si>
  <si>
    <t>Fatura Comercial desacordo</t>
  </si>
  <si>
    <t>86a5988hv</t>
  </si>
  <si>
    <t>OC1262/24 - Winning Plastics</t>
  </si>
  <si>
    <t>10900-728.384/2024-14</t>
  </si>
  <si>
    <t xml:space="preserve">18/03/26: Ajustado requerimento para dados Winning 0001.  </t>
  </si>
  <si>
    <t>13352623000256</t>
  </si>
  <si>
    <t>86ag407rj</t>
  </si>
  <si>
    <t>OE1248/23 - IBR DI 24/0157048-8</t>
  </si>
  <si>
    <t>10200.722348/2024-34</t>
  </si>
  <si>
    <t xml:space="preserve">18/03/2026: Intimação respondida.  </t>
  </si>
  <si>
    <t>13352623/0003-37</t>
  </si>
  <si>
    <t>Correção de benefício tributário</t>
  </si>
  <si>
    <t>JURÍDICO</t>
  </si>
  <si>
    <t>864eerxju</t>
  </si>
  <si>
    <t>610/22 - DAKEN CO3</t>
  </si>
  <si>
    <t>LEADER</t>
  </si>
  <si>
    <t>10983.727889/2024-99</t>
  </si>
  <si>
    <t xml:space="preserve">26/12/25: ARQUIVADO  </t>
  </si>
  <si>
    <t>Encaminhado no dia 19/03/24 para DTCREDITORIO-SAATA-ALF-ITJ-SC - Verificar instrução processual e cadastrar no Sief.</t>
  </si>
  <si>
    <t>44026439000169</t>
  </si>
  <si>
    <t>Reclassificação Fiscal/Descrição incompleta</t>
  </si>
  <si>
    <t>86a2d0m07</t>
  </si>
  <si>
    <t>OE0162/23 - BRASUTURE</t>
  </si>
  <si>
    <t>Patrice Zeidler Basso</t>
  </si>
  <si>
    <t>11000-747.536/2024-94</t>
  </si>
  <si>
    <t xml:space="preserve">Em18/03: 18/02/26: distribuido RS-ALF-POA-SADAD-EAD2-GABIN / Gabinete.  </t>
  </si>
  <si>
    <t>Recolhido IPI&lt;  e não era necessário</t>
  </si>
  <si>
    <t>86a2d0jcu</t>
  </si>
  <si>
    <t>OP1261/23 - MEGA</t>
  </si>
  <si>
    <t>11000-747.535/2024-40</t>
  </si>
  <si>
    <t xml:space="preserve">Em 18/03: 16/10/24 distribuido PR-ALF-FOZ-SEDAD-PSFI / Eq de Despacho do PSFI  </t>
  </si>
  <si>
    <t>Solicitar restituição</t>
  </si>
  <si>
    <t>Sem exigência - Desembaraço após analise RFB</t>
  </si>
  <si>
    <t>86abyu70e</t>
  </si>
  <si>
    <t>OE1599/24 - BLK</t>
  </si>
  <si>
    <t>11000-748.922/2024-01</t>
  </si>
  <si>
    <t xml:space="preserve">18/03/26: Em 04/11/25 SC-ALF-ITJ-SAATA-DTCREDITORIO / Eq Retif  </t>
  </si>
  <si>
    <t>Retificação FOB e Frete na nacionalizaçãod e entreposto</t>
  </si>
  <si>
    <t>FAVORÁVEL AG VALOR</t>
  </si>
  <si>
    <t>Responsável</t>
  </si>
  <si>
    <t>86a70v2g0</t>
  </si>
  <si>
    <t>12744/24 - WINNING/VOLCOM</t>
  </si>
  <si>
    <t>CLIENTE</t>
  </si>
  <si>
    <t>10900.720408/2025-78</t>
  </si>
  <si>
    <t xml:space="preserve">18/03 - Processo DEFERIDO. Aguardando pagamento.   10900720408202578_0000124_0000125_DESPACHO_DECISORIO_20260318_095943.pdf  </t>
  </si>
  <si>
    <t>86a0xrdx8</t>
  </si>
  <si>
    <t>4720/22  - BRUSTEC</t>
  </si>
  <si>
    <t>13971.721338/2024-49</t>
  </si>
  <si>
    <t xml:space="preserve">26/12/25: 19.03.24. Reconhecido direito a credito.   </t>
  </si>
  <si>
    <t>seguir com a retificação do item 72347, na invoice 5242, o mesmo foi registrado a NCM errada.</t>
  </si>
  <si>
    <t>09019836000102</t>
  </si>
  <si>
    <t>RESTITUIÇÃO SOLICITADA</t>
  </si>
  <si>
    <t>851/26 - R BRANDS</t>
  </si>
  <si>
    <t>Mariana Strick</t>
  </si>
  <si>
    <t>10906.135119/2026-08</t>
  </si>
  <si>
    <t>DUIMP registrada com CE Mercante incorreto, precisou ser cancelada. PIS e COFINS cliente irá se creditar, mas II através de restituição.</t>
  </si>
  <si>
    <t>13992333000196</t>
  </si>
  <si>
    <t>8678j9frr</t>
  </si>
  <si>
    <t>1472/23 / MAHINDRA</t>
  </si>
  <si>
    <t>13033.211271/2023-58</t>
  </si>
  <si>
    <t xml:space="preserve">Aguardando retorno da Cláudia Grün referente ao pedido de compensação via PerdComp.  </t>
  </si>
  <si>
    <t>Aguardando prosseguimento no Reconhecimento de Direito Creditório.</t>
  </si>
  <si>
    <t>8678j9qg0</t>
  </si>
  <si>
    <t>1480/23 / MAHINDRA</t>
  </si>
  <si>
    <t>13033.211053/2023-13</t>
  </si>
  <si>
    <t>86a2ezk5p</t>
  </si>
  <si>
    <t>3955/22 - MAHINDRA</t>
  </si>
  <si>
    <t>13033.285961/2022-62</t>
  </si>
  <si>
    <t>RS-ALF-RGE-SADAD-EQPROC / Eq Analise de Processos  Emitir Parecer / Despacho</t>
  </si>
  <si>
    <t>864ecvzk7</t>
  </si>
  <si>
    <t>4675/22 - USARE CO3</t>
  </si>
  <si>
    <t>10983.728168/2024-04</t>
  </si>
  <si>
    <t xml:space="preserve">26/12/25: ARQUIVADO. REABRIR?  </t>
  </si>
  <si>
    <t>07768403000124</t>
  </si>
  <si>
    <t>864eerxmu</t>
  </si>
  <si>
    <t>853/22 - DAKEN CO3</t>
  </si>
  <si>
    <t>10900.728.344/2024-72</t>
  </si>
  <si>
    <t xml:space="preserve">26/12/25: EM 04/11 direcionado ao setor DTCREDITORIO  </t>
  </si>
  <si>
    <t xml:space="preserve">SC-ALF-ITJ-SAATA / Seçao Assessoramento Técnico Aduaneiro - Apreciar e Assinar Documento </t>
  </si>
  <si>
    <t>86a5aj0vz</t>
  </si>
  <si>
    <t>OC0974/24 - Julian</t>
  </si>
  <si>
    <t>10900-729.143/2024-92</t>
  </si>
  <si>
    <t xml:space="preserve">29/12/25: 02/12/25 direcionado ao setor DTCREDITORIO   </t>
  </si>
  <si>
    <t>Di  retificada, após exigência da RFB para alterar NCM.Nova NCM IPI 0</t>
  </si>
  <si>
    <t>34359845000190</t>
  </si>
  <si>
    <t>86a5rehmq</t>
  </si>
  <si>
    <t>11675/24 - Cortexa</t>
  </si>
  <si>
    <t>11000.751790/2024-97</t>
  </si>
  <si>
    <t xml:space="preserve">29/12/25: Desde 29/09/25 Preparar Distribuição  </t>
  </si>
  <si>
    <t>Di registrada com fatura desatualizada. Nova fatura com valores menores. Retificada, e diferença cobrada do cliente, pois restituição será na conta do cliente.</t>
  </si>
  <si>
    <t>30811836000137</t>
  </si>
  <si>
    <t>86a7uprhx</t>
  </si>
  <si>
    <t>1923/23 - Eliseu Kopp</t>
  </si>
  <si>
    <t>13033.043781/2024-77</t>
  </si>
  <si>
    <t xml:space="preserve">29/12/25: Desde 18/08/25 setor para Emitir Parecer / Despacho  </t>
  </si>
  <si>
    <t>93315190000621</t>
  </si>
  <si>
    <t>86a95k5ak</t>
  </si>
  <si>
    <t>2278/25 - Palagi</t>
  </si>
  <si>
    <t>11000.734163/2025-72</t>
  </si>
  <si>
    <t xml:space="preserve">29/12/25: Desde 04/09/25 no setor DTCREDITORIO  </t>
  </si>
  <si>
    <t>06130052000169</t>
  </si>
  <si>
    <t>86aa1pnc1</t>
  </si>
  <si>
    <t>70/25 - Sankem</t>
  </si>
  <si>
    <t xml:space="preserve">11000-735.982/2025-37 </t>
  </si>
  <si>
    <t xml:space="preserve">29/12/25: Desde 05/09/25 no setor DTCREDITORIO  </t>
  </si>
  <si>
    <t xml:space="preserve">Valores de diferença de oimpostos ressarcidos pelo agente de carga na origem, pela falha na expedição. </t>
  </si>
  <si>
    <t>14444651000185</t>
  </si>
  <si>
    <t>86aa78wpt</t>
  </si>
  <si>
    <t>2443/25 - Infortel</t>
  </si>
  <si>
    <t>11000.735756/202-56</t>
  </si>
  <si>
    <t xml:space="preserve">12/11:  Doc recebido pela RFB. Fase de Preparar Distribuição. Sem intimação.  </t>
  </si>
  <si>
    <t>87024022000170</t>
  </si>
  <si>
    <t>Divergência de volumes</t>
  </si>
  <si>
    <t>86aawjx92</t>
  </si>
  <si>
    <t>10529/24 - Aplinta</t>
  </si>
  <si>
    <t>13033.288833/2024-32</t>
  </si>
  <si>
    <t xml:space="preserve">29/12/25: Cobrado CS + analista.   </t>
  </si>
  <si>
    <t>Ajuste NCM, com IPI zerado, após desembaraço</t>
  </si>
  <si>
    <t>40660226000133</t>
  </si>
  <si>
    <t>86acq6zvk</t>
  </si>
  <si>
    <t>2003/25 - SGS POLIMEROS</t>
  </si>
  <si>
    <t>11000.745936/2025-46</t>
  </si>
  <si>
    <t xml:space="preserve">29/12/25: Desde 15/10/25 aguardando parecer / despacho  </t>
  </si>
  <si>
    <t>Debito DI na conta cliente. Mas cliente pediu ressarcimento, até restituição. Termo assinado pela SGS em 21/10/25</t>
  </si>
  <si>
    <t>06355038000163</t>
  </si>
  <si>
    <t>86a0xrx5c</t>
  </si>
  <si>
    <t>OC0708/23 - UNIPELLI 00.596.161/0005-13</t>
  </si>
  <si>
    <t>11000-749.101/2024-84</t>
  </si>
  <si>
    <t xml:space="preserve">03/01/25: Sem acesso ecac  </t>
  </si>
  <si>
    <t>Alterado valor na INVOICE final</t>
  </si>
  <si>
    <t>00596161000190</t>
  </si>
  <si>
    <t>86aaw7g95</t>
  </si>
  <si>
    <t>1630/25 - GLOBAL</t>
  </si>
  <si>
    <t>11000-741.569/2025-10</t>
  </si>
  <si>
    <t xml:space="preserve">29/12/25: No setor DTCREDITORIO desde 15/09/25  </t>
  </si>
  <si>
    <t>17804883000195</t>
  </si>
  <si>
    <t>86a4ujex4</t>
  </si>
  <si>
    <t>OE1260/24 - BLK NACIO</t>
  </si>
  <si>
    <t xml:space="preserve">11000.733603/2025-74 </t>
  </si>
  <si>
    <t xml:space="preserve">26/12/25: Ag encaminhamento RFB.   </t>
  </si>
  <si>
    <t>86a5btk7q</t>
  </si>
  <si>
    <t>8594/24 - CO3 - DAKEN -</t>
  </si>
  <si>
    <t>10900.728.343/2024-28</t>
  </si>
  <si>
    <t xml:space="preserve">26/12/25: Em 04/11 direcionado para o setor DTCREDITORIO  </t>
  </si>
  <si>
    <t>86a8w0zm3</t>
  </si>
  <si>
    <t>13193/24 - KAZANGIL</t>
  </si>
  <si>
    <t>11000.733274/2025-61</t>
  </si>
  <si>
    <t>86aaw7xrm</t>
  </si>
  <si>
    <t>1360/25 - GLOBAL</t>
  </si>
  <si>
    <t xml:space="preserve">29/12/25: Desde 15/09/25 no setor DTCREDITORIO  </t>
  </si>
  <si>
    <t>86aaw9m49</t>
  </si>
  <si>
    <t>13068/24 - STRA</t>
  </si>
  <si>
    <t>10900723560/2025-11</t>
  </si>
  <si>
    <t xml:space="preserve">29/12/25:  Desde 05/08/25 no setor DTCREDITORIO  </t>
  </si>
  <si>
    <t>11388997000115</t>
  </si>
  <si>
    <t>86aegm63e</t>
  </si>
  <si>
    <t>5953/25 - STRA</t>
  </si>
  <si>
    <t>10900-720.123/2026-18.</t>
  </si>
  <si>
    <t xml:space="preserve">13/01/26: Processo protocolado  </t>
  </si>
  <si>
    <t>Emissão de LI incorreto. Sem mencionar ex-tarifário.</t>
  </si>
  <si>
    <t>Descrição desacordo</t>
  </si>
  <si>
    <t>86afk9byf</t>
  </si>
  <si>
    <t>3831/25 - QUALYBESS</t>
  </si>
  <si>
    <t>10900.725822/2025-73</t>
  </si>
  <si>
    <t>Alteração de NCM</t>
  </si>
  <si>
    <t xml:space="preserve">PENDENCIA DOC </t>
  </si>
  <si>
    <t>86a0xq9hz</t>
  </si>
  <si>
    <t>OC0348/23 - MH 30.511.579/0001-18</t>
  </si>
  <si>
    <t>AG ECAC. 14/10 CHamado CS</t>
  </si>
  <si>
    <t xml:space="preserve">02.12 - Solic CS, posição Ecac com cliente  </t>
  </si>
  <si>
    <t xml:space="preserve"> valor unitário conforme abaixo:  DE: 0,726  PARA: 0,6897</t>
  </si>
  <si>
    <t>30511579000118</t>
  </si>
  <si>
    <t>86ag51z30</t>
  </si>
  <si>
    <t>OE2213/23 - INSTRUSUL</t>
  </si>
  <si>
    <t xml:space="preserve">17/03/26 e 19/0326: Cobrado analista, e instruido docs complementares,  </t>
  </si>
  <si>
    <t>DEFERIDO - PAGAMENTO PROGRAMADO PARA 20/04</t>
  </si>
  <si>
    <t>IMPOSTOS A RESTITUIR</t>
  </si>
  <si>
    <t>VALOR CORRIGIDO</t>
  </si>
  <si>
    <t>86ad6nc9t</t>
  </si>
  <si>
    <t>OE1517/24 - BLK</t>
  </si>
  <si>
    <t>11000.749727/2024-91</t>
  </si>
  <si>
    <t xml:space="preserve">18/03/26: Encaminhamento para jurisdição Florianopolis  </t>
  </si>
  <si>
    <t>86a3jhnvw</t>
  </si>
  <si>
    <t>OP0703/24 - EDEGILDO</t>
  </si>
  <si>
    <t xml:space="preserve">18/03/26: Desde 10/03 VR-DEVAT09-EQCRE-REST / Eq Exec Dir Cred Restituiçao  </t>
  </si>
  <si>
    <t>86a3jhrub</t>
  </si>
  <si>
    <t>OP0696/24 - EDEGILDO</t>
  </si>
  <si>
    <t>11000.749728/2024-35</t>
  </si>
  <si>
    <t xml:space="preserve">26/12/25: Juntada recebida em 02/12/25.  </t>
  </si>
  <si>
    <t>86a553u88</t>
  </si>
  <si>
    <t>OE0710/24 - MDC MAX</t>
  </si>
  <si>
    <t xml:space="preserve">18/03/26: 07/11/25 emitido extrato do processo de restituição  </t>
  </si>
  <si>
    <t>Retificação aliquota PIS e cofins</t>
  </si>
  <si>
    <t>INDEFERIDOS</t>
  </si>
  <si>
    <t>86a5u5zdk</t>
  </si>
  <si>
    <t>291/22 - Mega - INDEFERIDO</t>
  </si>
  <si>
    <t>10900-729.220/2024-12</t>
  </si>
  <si>
    <t xml:space="preserve">19/02/2026: Pedido indeferido pela fiscal Ingrid. "Solicitação de inclusão de benefício após o desembaraço. Falta do controle aduaneiro para identificação do bem."  </t>
  </si>
  <si>
    <t>13352623/000256</t>
  </si>
  <si>
    <t>86abyupgt</t>
  </si>
  <si>
    <t>322/25 - Winning (academia) - INDEFERIDO</t>
  </si>
  <si>
    <t>11000.721307/2025-21</t>
  </si>
  <si>
    <t xml:space="preserve">04/03: Processo INDEFERIDO.   11000721307202521_0000051_0000053_DESPACHO_DECISORIO_20260304_180734.pdf  </t>
  </si>
  <si>
    <t>86a12fcyg</t>
  </si>
  <si>
    <t>OE0173/23 - MONTENGEL - DESISTÊNCIA</t>
  </si>
  <si>
    <t>11000.747.332/2024-53</t>
  </si>
  <si>
    <t xml:space="preserve">27/02/26: Nova Intimação recebida:   image.png  </t>
  </si>
  <si>
    <t>Seguro declarado a maior</t>
  </si>
  <si>
    <t>86a553up2</t>
  </si>
  <si>
    <t>OE1752/23 - MAVE - INDEFERIDO</t>
  </si>
  <si>
    <t>11000-752.262/2024-55</t>
  </si>
  <si>
    <t xml:space="preserve">INDEFERIDO: A importação foi parametrizada em canal vermelho, mantendo-se a classificação original. Ainda, foi informado que não houve laudo realizado no decorrer do despacho. A retificação foi realizada após o desembaraço.  </t>
  </si>
  <si>
    <t>Ajustado aliquota IPI</t>
  </si>
  <si>
    <t>11000.749724/2024-57</t>
  </si>
  <si>
    <t>11000.748062/2024-06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</si>
</sst>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6"/>
      <name val="Roboto"/>
      <family val="2"/>
    </font>
    <font>
      <b/>
      <sz val="14"/>
      <color rgb="FFD33D44"/>
      <name val="Roboto"/>
      <family val="2"/>
    </font>
    <font>
      <b/>
      <sz val="12"/>
      <name val="Roboto"/>
      <family val="2"/>
    </font>
    <font>
      <sz val="12"/>
      <name val="Roboto"/>
      <family val="2"/>
    </font>
    <font>
      <sz val="12"/>
      <color rgb="FFFFFFFF"/>
      <name val="Roboto"/>
      <family val="2"/>
    </font>
    <font>
      <b/>
      <sz val="14"/>
      <color rgb="FF3DB88B"/>
      <name val="Roboto"/>
      <family val="2"/>
    </font>
    <font>
      <b/>
      <sz val="14"/>
      <color rgb="FFAA8D80"/>
      <name val="Roboto"/>
      <family val="2"/>
    </font>
    <font>
      <b/>
      <sz val="14"/>
      <color rgb="FF4466FF"/>
      <name val="Roboto"/>
      <family val="2"/>
    </font>
    <font>
      <sz val="11"/>
      <name val="Calibri"/>
      <family val="2"/>
      <scheme val="minor"/>
    </font>
    <font>
      <b/>
      <sz val="14"/>
      <name val="Roboto"/>
      <family val="2"/>
    </font>
    <font>
      <b/>
      <sz val="14"/>
      <color rgb="FFFFC000"/>
      <name val="Roboto"/>
      <family val="2"/>
    </font>
    <font>
      <sz val="11"/>
      <color rgb="FFFFC000"/>
      <name val="Calibri"/>
      <family val="2"/>
      <scheme val="minor"/>
    </font>
    <font>
      <b/>
      <sz val="1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3397DD"/>
      </patternFill>
    </fill>
    <fill>
      <patternFill patternType="solid">
        <fgColor rgb="FFE50000"/>
      </patternFill>
    </fill>
    <fill>
      <patternFill patternType="solid">
        <fgColor rgb="FFFF7800"/>
      </patternFill>
    </fill>
    <fill>
      <patternFill patternType="solid">
        <fgColor rgb="FFB5BC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5" borderId="0" xfId="0" applyFont="1" applyFill="1" applyAlignment="1">
      <alignment horizontal="center"/>
    </xf>
    <xf numFmtId="0" fontId="8" fillId="0" borderId="0" xfId="0" applyFont="1"/>
    <xf numFmtId="0" fontId="5" fillId="6" borderId="0" xfId="0" applyFont="1" applyFill="1" applyAlignment="1">
      <alignment horizontal="center"/>
    </xf>
    <xf numFmtId="44" fontId="4" fillId="0" borderId="0" xfId="0" applyNumberFormat="1" applyFont="1"/>
    <xf numFmtId="44" fontId="0" fillId="0" borderId="0" xfId="0" applyNumberFormat="1"/>
    <xf numFmtId="44" fontId="3" fillId="2" borderId="0" xfId="0" applyNumberFormat="1" applyFont="1" applyFill="1" applyAlignment="1">
      <alignment horizontal="center"/>
    </xf>
    <xf numFmtId="0" fontId="4" fillId="0" borderId="0" xfId="0" quotePrefix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44" fontId="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4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3E718780-1B42-4629-84EE-F14F2FB15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812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topLeftCell="A3" workbookViewId="0">
      <selection activeCell="A10" sqref="A10:XFD10"/>
    </sheetView>
  </sheetViews>
  <sheetFormatPr defaultRowHeight="15" x14ac:dyDescent="0.25"/>
  <cols>
    <col min="1" max="1" width="0.42578125" customWidth="1"/>
    <col min="2" max="2" width="38.85546875" customWidth="1"/>
    <col min="3" max="3" width="28" customWidth="1"/>
    <col min="4" max="4" width="23.42578125" customWidth="1"/>
    <col min="5" max="5" width="25.5703125" customWidth="1"/>
    <col min="6" max="6" width="40.42578125" customWidth="1"/>
    <col min="7" max="7" width="41" customWidth="1"/>
    <col min="8" max="8" width="29" customWidth="1"/>
    <col min="9" max="9" width="23" customWidth="1"/>
    <col min="10" max="11" width="36.42578125" customWidth="1"/>
    <col min="12" max="12" width="27.42578125" customWidth="1"/>
    <col min="13" max="13" width="41" customWidth="1"/>
    <col min="14" max="14" width="38" customWidth="1"/>
    <col min="15" max="15" width="47" customWidth="1"/>
  </cols>
  <sheetData>
    <row r="1" spans="1:15" ht="50.1" customHeight="1" x14ac:dyDescent="0.25"/>
    <row r="2" spans="1:15" ht="30" customHeight="1" x14ac:dyDescent="0.3">
      <c r="A2" s="1" t="s">
        <v>0</v>
      </c>
    </row>
    <row r="3" spans="1:15" ht="20.100000000000001" customHeight="1" x14ac:dyDescent="0.3">
      <c r="A3" s="2" t="s">
        <v>1</v>
      </c>
    </row>
    <row r="4" spans="1:15" ht="15.7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15.75" x14ac:dyDescent="0.25">
      <c r="A5" s="4"/>
      <c r="B5" s="4"/>
      <c r="C5" s="4"/>
      <c r="D5" s="21"/>
      <c r="E5" s="21"/>
      <c r="F5" s="13"/>
      <c r="G5" s="4"/>
      <c r="H5" s="4"/>
      <c r="I5" s="4"/>
      <c r="J5" s="4"/>
      <c r="K5" s="7"/>
      <c r="L5" s="4"/>
      <c r="M5" s="4"/>
      <c r="N5" s="4"/>
      <c r="O5" s="4"/>
    </row>
    <row r="6" spans="1:15" ht="15.75" x14ac:dyDescent="0.25">
      <c r="A6" s="4"/>
      <c r="B6" s="4"/>
      <c r="C6" s="4"/>
      <c r="D6" s="21"/>
      <c r="E6" s="4"/>
      <c r="F6" s="13"/>
      <c r="G6" s="4"/>
      <c r="H6" s="7"/>
      <c r="I6" s="4"/>
      <c r="J6" s="4"/>
      <c r="K6" s="7"/>
      <c r="L6" s="4"/>
      <c r="M6" s="4"/>
      <c r="N6" s="4"/>
      <c r="O6" s="4"/>
    </row>
    <row r="7" spans="1:15" ht="20.100000000000001" customHeight="1" x14ac:dyDescent="0.3">
      <c r="A7" s="8" t="s">
        <v>17</v>
      </c>
      <c r="F7" s="14"/>
    </row>
    <row r="8" spans="1:15" ht="15.75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15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ht="15.75" x14ac:dyDescent="0.25">
      <c r="A9" s="4" t="s">
        <v>18</v>
      </c>
      <c r="B9" s="4" t="s">
        <v>19</v>
      </c>
      <c r="C9" s="4" t="s">
        <v>20</v>
      </c>
      <c r="D9" s="5" t="s">
        <v>21</v>
      </c>
      <c r="E9" s="6" t="s">
        <v>22</v>
      </c>
      <c r="F9" s="13">
        <v>12540.83</v>
      </c>
      <c r="G9" s="4" t="s">
        <v>23</v>
      </c>
      <c r="H9" s="7">
        <v>45992</v>
      </c>
      <c r="I9" s="4" t="s">
        <v>24</v>
      </c>
      <c r="J9" s="4" t="s">
        <v>25</v>
      </c>
      <c r="K9" s="7">
        <v>45548</v>
      </c>
      <c r="L9" s="4" t="s">
        <v>26</v>
      </c>
      <c r="M9" s="4" t="s">
        <v>27</v>
      </c>
      <c r="N9" s="4" t="s">
        <v>27</v>
      </c>
      <c r="O9" s="4" t="s">
        <v>27</v>
      </c>
    </row>
    <row r="10" spans="1:15" ht="15.75" x14ac:dyDescent="0.25">
      <c r="A10" s="4" t="s">
        <v>34</v>
      </c>
      <c r="B10" s="4" t="s">
        <v>35</v>
      </c>
      <c r="C10" s="4" t="s">
        <v>20</v>
      </c>
      <c r="D10" s="5" t="s">
        <v>21</v>
      </c>
      <c r="E10" s="6" t="s">
        <v>22</v>
      </c>
      <c r="F10" s="13">
        <v>43837</v>
      </c>
      <c r="G10" s="4" t="s">
        <v>36</v>
      </c>
      <c r="H10" s="7">
        <v>46027</v>
      </c>
      <c r="I10" s="4" t="s">
        <v>37</v>
      </c>
      <c r="J10" s="4" t="s">
        <v>27</v>
      </c>
      <c r="K10" s="7">
        <v>45421</v>
      </c>
      <c r="L10" s="4" t="s">
        <v>26</v>
      </c>
      <c r="M10" s="4" t="s">
        <v>27</v>
      </c>
      <c r="N10" s="7">
        <v>45460</v>
      </c>
      <c r="O10" s="4" t="s">
        <v>38</v>
      </c>
    </row>
    <row r="11" spans="1:15" ht="15.75" x14ac:dyDescent="0.25">
      <c r="A11" s="4" t="s">
        <v>39</v>
      </c>
      <c r="B11" s="4" t="s">
        <v>40</v>
      </c>
      <c r="C11" s="4"/>
      <c r="D11" s="5" t="s">
        <v>21</v>
      </c>
      <c r="E11" s="6" t="s">
        <v>22</v>
      </c>
      <c r="F11" s="13">
        <v>464.12</v>
      </c>
      <c r="G11" s="4" t="s">
        <v>41</v>
      </c>
      <c r="H11" s="4" t="s">
        <v>27</v>
      </c>
      <c r="I11" s="4" t="s">
        <v>42</v>
      </c>
      <c r="J11" s="4" t="s">
        <v>27</v>
      </c>
      <c r="K11" s="7">
        <v>45481</v>
      </c>
      <c r="L11" s="4" t="s">
        <v>43</v>
      </c>
      <c r="M11" s="4" t="s">
        <v>27</v>
      </c>
      <c r="N11" s="4" t="s">
        <v>27</v>
      </c>
      <c r="O11" s="4" t="s">
        <v>27</v>
      </c>
    </row>
    <row r="12" spans="1:15" ht="15.75" x14ac:dyDescent="0.25">
      <c r="A12" s="4" t="s">
        <v>44</v>
      </c>
      <c r="B12" s="4" t="s">
        <v>45</v>
      </c>
      <c r="C12" s="4" t="s">
        <v>27</v>
      </c>
      <c r="D12" s="5" t="s">
        <v>21</v>
      </c>
      <c r="E12" s="4" t="s">
        <v>27</v>
      </c>
      <c r="F12" s="13">
        <v>40647.65</v>
      </c>
      <c r="G12" s="4" t="s">
        <v>46</v>
      </c>
      <c r="H12" s="7">
        <v>46101</v>
      </c>
      <c r="I12" s="4" t="s">
        <v>47</v>
      </c>
      <c r="J12" s="4" t="s">
        <v>27</v>
      </c>
      <c r="K12" s="7">
        <v>45313</v>
      </c>
      <c r="L12" s="4" t="s">
        <v>48</v>
      </c>
      <c r="M12" s="4" t="s">
        <v>27</v>
      </c>
      <c r="N12" s="4" t="s">
        <v>27</v>
      </c>
      <c r="O12" s="4" t="s">
        <v>49</v>
      </c>
    </row>
    <row r="13" spans="1:15" ht="20.100000000000001" customHeight="1" x14ac:dyDescent="0.3">
      <c r="A13" s="9" t="s">
        <v>50</v>
      </c>
      <c r="F13" s="14"/>
    </row>
    <row r="14" spans="1:15" ht="15.75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15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ht="15.75" x14ac:dyDescent="0.25">
      <c r="A15" s="4" t="s">
        <v>51</v>
      </c>
      <c r="B15" s="4" t="s">
        <v>52</v>
      </c>
      <c r="C15" s="4"/>
      <c r="D15" s="10" t="s">
        <v>53</v>
      </c>
      <c r="E15" s="6" t="s">
        <v>22</v>
      </c>
      <c r="F15" s="13">
        <v>8172.94</v>
      </c>
      <c r="G15" s="4" t="s">
        <v>54</v>
      </c>
      <c r="H15" s="4" t="s">
        <v>27</v>
      </c>
      <c r="I15" s="4" t="s">
        <v>55</v>
      </c>
      <c r="J15" s="4" t="s">
        <v>56</v>
      </c>
      <c r="K15" s="7">
        <v>44900</v>
      </c>
      <c r="L15" s="4" t="s">
        <v>57</v>
      </c>
      <c r="M15" s="4" t="s">
        <v>27</v>
      </c>
      <c r="N15" s="7">
        <v>45370</v>
      </c>
      <c r="O15" s="4" t="s">
        <v>58</v>
      </c>
    </row>
    <row r="16" spans="1:15" ht="15.75" x14ac:dyDescent="0.25">
      <c r="A16" s="4" t="s">
        <v>59</v>
      </c>
      <c r="B16" s="4" t="s">
        <v>60</v>
      </c>
      <c r="C16" s="4" t="s">
        <v>61</v>
      </c>
      <c r="D16" s="5" t="s">
        <v>21</v>
      </c>
      <c r="E16" s="6" t="s">
        <v>22</v>
      </c>
      <c r="F16" s="13">
        <v>11499</v>
      </c>
      <c r="G16" s="4" t="s">
        <v>62</v>
      </c>
      <c r="H16" s="4" t="s">
        <v>27</v>
      </c>
      <c r="I16" s="4" t="s">
        <v>63</v>
      </c>
      <c r="J16" s="4" t="s">
        <v>64</v>
      </c>
      <c r="K16" s="7">
        <v>45196</v>
      </c>
      <c r="L16" s="4" t="s">
        <v>26</v>
      </c>
      <c r="M16" s="4" t="s">
        <v>27</v>
      </c>
      <c r="N16" s="4" t="s">
        <v>27</v>
      </c>
      <c r="O16" s="4" t="s">
        <v>49</v>
      </c>
    </row>
    <row r="17" spans="1:15" ht="15.75" x14ac:dyDescent="0.25">
      <c r="A17" s="4" t="s">
        <v>65</v>
      </c>
      <c r="B17" s="4" t="s">
        <v>66</v>
      </c>
      <c r="C17" s="4" t="s">
        <v>61</v>
      </c>
      <c r="D17" s="5" t="s">
        <v>21</v>
      </c>
      <c r="E17" s="6" t="s">
        <v>22</v>
      </c>
      <c r="F17" s="13">
        <v>3169</v>
      </c>
      <c r="G17" s="4" t="s">
        <v>67</v>
      </c>
      <c r="H17" s="4" t="s">
        <v>27</v>
      </c>
      <c r="I17" s="4" t="s">
        <v>68</v>
      </c>
      <c r="J17" s="4" t="s">
        <v>69</v>
      </c>
      <c r="K17" s="7">
        <v>45196</v>
      </c>
      <c r="L17" s="4" t="s">
        <v>26</v>
      </c>
      <c r="M17" s="4" t="s">
        <v>27</v>
      </c>
      <c r="N17" s="4" t="s">
        <v>27</v>
      </c>
      <c r="O17" s="4" t="s">
        <v>70</v>
      </c>
    </row>
    <row r="18" spans="1:15" ht="15.75" x14ac:dyDescent="0.25">
      <c r="A18" s="4" t="s">
        <v>71</v>
      </c>
      <c r="B18" s="4" t="s">
        <v>72</v>
      </c>
      <c r="C18" s="4" t="s">
        <v>61</v>
      </c>
      <c r="D18" s="5" t="s">
        <v>21</v>
      </c>
      <c r="E18" s="6" t="s">
        <v>22</v>
      </c>
      <c r="F18" s="13">
        <v>458.6</v>
      </c>
      <c r="G18" s="4" t="s">
        <v>73</v>
      </c>
      <c r="H18" s="4" t="s">
        <v>27</v>
      </c>
      <c r="I18" s="4" t="s">
        <v>74</v>
      </c>
      <c r="J18" s="4" t="s">
        <v>75</v>
      </c>
      <c r="K18" s="7">
        <v>45555</v>
      </c>
      <c r="L18" s="4" t="s">
        <v>43</v>
      </c>
      <c r="M18" s="4" t="s">
        <v>27</v>
      </c>
      <c r="N18" s="4" t="s">
        <v>27</v>
      </c>
      <c r="O18" s="4" t="s">
        <v>27</v>
      </c>
    </row>
    <row r="19" spans="1:15" ht="20.100000000000001" customHeight="1" x14ac:dyDescent="0.3">
      <c r="A19" s="11" t="s">
        <v>76</v>
      </c>
      <c r="F19" s="14"/>
    </row>
    <row r="20" spans="1:15" ht="15.75" x14ac:dyDescent="0.25">
      <c r="A20" s="3" t="s">
        <v>2</v>
      </c>
      <c r="B20" s="3" t="s">
        <v>3</v>
      </c>
      <c r="C20" s="3" t="s">
        <v>77</v>
      </c>
      <c r="D20" s="3" t="s">
        <v>5</v>
      </c>
      <c r="E20" s="3" t="s">
        <v>6</v>
      </c>
      <c r="F20" s="15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3" spans="1:15" ht="15.75" x14ac:dyDescent="0.25">
      <c r="A23" s="4" t="s">
        <v>78</v>
      </c>
      <c r="B23" s="4" t="s">
        <v>79</v>
      </c>
      <c r="C23" s="4"/>
      <c r="D23" s="5" t="s">
        <v>21</v>
      </c>
      <c r="E23" s="12" t="s">
        <v>80</v>
      </c>
      <c r="F23" s="13">
        <v>991.95</v>
      </c>
      <c r="G23" s="4" t="s">
        <v>81</v>
      </c>
      <c r="H23" s="4" t="s">
        <v>27</v>
      </c>
      <c r="I23" s="4" t="s">
        <v>82</v>
      </c>
      <c r="J23" s="4" t="s">
        <v>27</v>
      </c>
      <c r="K23" s="7">
        <v>45610</v>
      </c>
      <c r="L23" s="4" t="s">
        <v>26</v>
      </c>
      <c r="M23" s="4" t="s">
        <v>27</v>
      </c>
      <c r="N23" s="7">
        <v>45681</v>
      </c>
      <c r="O23" s="4" t="s">
        <v>58</v>
      </c>
    </row>
    <row r="25" spans="1:15" ht="15.75" x14ac:dyDescent="0.25">
      <c r="A25" s="4" t="s">
        <v>83</v>
      </c>
      <c r="B25" s="4" t="s">
        <v>84</v>
      </c>
      <c r="C25" s="4" t="s">
        <v>61</v>
      </c>
      <c r="D25" s="5" t="s">
        <v>21</v>
      </c>
      <c r="E25" s="12" t="s">
        <v>80</v>
      </c>
      <c r="F25" s="13">
        <v>3127.82</v>
      </c>
      <c r="G25" s="4" t="s">
        <v>85</v>
      </c>
      <c r="H25" s="4" t="s">
        <v>27</v>
      </c>
      <c r="I25" s="4" t="s">
        <v>86</v>
      </c>
      <c r="J25" s="4" t="s">
        <v>87</v>
      </c>
      <c r="K25" s="7">
        <v>45100</v>
      </c>
      <c r="L25" s="4" t="s">
        <v>88</v>
      </c>
      <c r="M25" s="4" t="s">
        <v>27</v>
      </c>
      <c r="N25" s="7">
        <v>45370</v>
      </c>
      <c r="O25" s="4" t="s">
        <v>58</v>
      </c>
    </row>
    <row r="26" spans="1:15" ht="20.100000000000001" customHeight="1" x14ac:dyDescent="0.3">
      <c r="A26" s="18" t="s">
        <v>89</v>
      </c>
      <c r="B26" s="17"/>
      <c r="F26" s="14"/>
    </row>
    <row r="27" spans="1:15" ht="15.75" x14ac:dyDescent="0.2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15" t="s">
        <v>7</v>
      </c>
      <c r="G27" s="3" t="s">
        <v>8</v>
      </c>
      <c r="H27" s="3" t="s">
        <v>9</v>
      </c>
      <c r="I27" s="3" t="s">
        <v>10</v>
      </c>
      <c r="J27" s="3" t="s">
        <v>11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1:15" ht="15.75" x14ac:dyDescent="0.25">
      <c r="A28" s="4"/>
      <c r="B28" s="4" t="s">
        <v>90</v>
      </c>
      <c r="C28" s="4" t="s">
        <v>91</v>
      </c>
      <c r="D28" s="10" t="s">
        <v>53</v>
      </c>
      <c r="E28" s="6" t="s">
        <v>22</v>
      </c>
      <c r="F28" s="13">
        <v>33498.89</v>
      </c>
      <c r="G28" s="4" t="s">
        <v>92</v>
      </c>
      <c r="H28" s="4"/>
      <c r="I28" s="4"/>
      <c r="J28" s="4" t="s">
        <v>93</v>
      </c>
      <c r="K28" s="7">
        <v>46125</v>
      </c>
      <c r="L28" s="16" t="s">
        <v>94</v>
      </c>
      <c r="M28" s="4"/>
      <c r="N28" s="7">
        <v>46125</v>
      </c>
      <c r="O28" s="4" t="s">
        <v>93</v>
      </c>
    </row>
    <row r="29" spans="1:15" ht="15.75" x14ac:dyDescent="0.25">
      <c r="A29" s="4" t="s">
        <v>95</v>
      </c>
      <c r="B29" s="4" t="s">
        <v>96</v>
      </c>
      <c r="C29" s="4"/>
      <c r="D29" s="10" t="s">
        <v>53</v>
      </c>
      <c r="E29" s="6" t="s">
        <v>22</v>
      </c>
      <c r="F29" s="13">
        <v>13747</v>
      </c>
      <c r="G29" s="4" t="s">
        <v>97</v>
      </c>
      <c r="H29" s="4" t="s">
        <v>27</v>
      </c>
      <c r="I29" s="4" t="s">
        <v>98</v>
      </c>
      <c r="J29" s="4" t="s">
        <v>99</v>
      </c>
      <c r="K29" s="7">
        <v>45072</v>
      </c>
      <c r="L29" s="4" t="s">
        <v>27</v>
      </c>
      <c r="M29" s="4" t="s">
        <v>27</v>
      </c>
      <c r="N29" s="7">
        <v>45167</v>
      </c>
      <c r="O29" s="4" t="s">
        <v>49</v>
      </c>
    </row>
    <row r="30" spans="1:15" ht="15.75" x14ac:dyDescent="0.25">
      <c r="A30" s="4" t="s">
        <v>100</v>
      </c>
      <c r="B30" s="4" t="s">
        <v>101</v>
      </c>
      <c r="C30" s="4"/>
      <c r="D30" s="10" t="s">
        <v>53</v>
      </c>
      <c r="E30" s="6" t="s">
        <v>22</v>
      </c>
      <c r="F30" s="13">
        <v>14450</v>
      </c>
      <c r="G30" s="4" t="s">
        <v>102</v>
      </c>
      <c r="H30" s="4" t="s">
        <v>27</v>
      </c>
      <c r="I30" s="4" t="s">
        <v>98</v>
      </c>
      <c r="J30" s="4" t="s">
        <v>99</v>
      </c>
      <c r="K30" s="7">
        <v>45072</v>
      </c>
      <c r="L30" s="4" t="s">
        <v>27</v>
      </c>
      <c r="M30" s="4" t="s">
        <v>27</v>
      </c>
      <c r="N30" s="7">
        <v>45167</v>
      </c>
      <c r="O30" s="4" t="s">
        <v>49</v>
      </c>
    </row>
    <row r="31" spans="1:15" ht="15.75" x14ac:dyDescent="0.25">
      <c r="A31" s="4" t="s">
        <v>103</v>
      </c>
      <c r="B31" s="4" t="s">
        <v>104</v>
      </c>
      <c r="C31" s="4"/>
      <c r="D31" s="10" t="s">
        <v>53</v>
      </c>
      <c r="E31" s="6" t="s">
        <v>22</v>
      </c>
      <c r="F31" s="13">
        <v>14861</v>
      </c>
      <c r="G31" s="4" t="s">
        <v>105</v>
      </c>
      <c r="H31" s="4" t="s">
        <v>27</v>
      </c>
      <c r="I31" s="4" t="s">
        <v>98</v>
      </c>
      <c r="J31" s="4" t="s">
        <v>106</v>
      </c>
      <c r="K31" s="7">
        <v>44879</v>
      </c>
      <c r="L31" s="4" t="s">
        <v>27</v>
      </c>
      <c r="M31" s="4" t="s">
        <v>27</v>
      </c>
      <c r="N31" s="7">
        <v>44879</v>
      </c>
      <c r="O31" s="4" t="s">
        <v>49</v>
      </c>
    </row>
    <row r="32" spans="1:15" ht="15.75" x14ac:dyDescent="0.25">
      <c r="A32" s="4" t="s">
        <v>107</v>
      </c>
      <c r="B32" s="4" t="s">
        <v>108</v>
      </c>
      <c r="C32" s="4"/>
      <c r="D32" s="10" t="s">
        <v>53</v>
      </c>
      <c r="E32" s="6" t="s">
        <v>22</v>
      </c>
      <c r="F32" s="13">
        <v>936.44</v>
      </c>
      <c r="G32" s="4" t="s">
        <v>109</v>
      </c>
      <c r="H32" s="4" t="s">
        <v>27</v>
      </c>
      <c r="I32" s="4" t="s">
        <v>110</v>
      </c>
      <c r="J32" s="4" t="s">
        <v>56</v>
      </c>
      <c r="K32" s="7">
        <v>44953</v>
      </c>
      <c r="L32" s="4" t="s">
        <v>111</v>
      </c>
      <c r="M32" s="4" t="s">
        <v>27</v>
      </c>
      <c r="N32" s="7">
        <v>44981</v>
      </c>
      <c r="O32" s="4" t="s">
        <v>58</v>
      </c>
    </row>
    <row r="33" spans="1:15" ht="15.75" x14ac:dyDescent="0.25">
      <c r="A33" s="4" t="s">
        <v>112</v>
      </c>
      <c r="B33" s="4" t="s">
        <v>113</v>
      </c>
      <c r="C33" s="4"/>
      <c r="D33" s="5" t="s">
        <v>21</v>
      </c>
      <c r="E33" s="6" t="s">
        <v>22</v>
      </c>
      <c r="F33" s="13">
        <v>8388</v>
      </c>
      <c r="G33" s="4" t="s">
        <v>114</v>
      </c>
      <c r="H33" s="4" t="s">
        <v>27</v>
      </c>
      <c r="I33" s="4" t="s">
        <v>115</v>
      </c>
      <c r="J33" s="4" t="s">
        <v>116</v>
      </c>
      <c r="K33" s="7">
        <v>44949</v>
      </c>
      <c r="L33" s="4" t="s">
        <v>57</v>
      </c>
      <c r="M33" s="4" t="s">
        <v>27</v>
      </c>
      <c r="N33" s="7">
        <v>45370</v>
      </c>
      <c r="O33" s="4" t="s">
        <v>58</v>
      </c>
    </row>
    <row r="34" spans="1:15" ht="15.75" x14ac:dyDescent="0.25">
      <c r="A34" s="4" t="s">
        <v>117</v>
      </c>
      <c r="B34" s="4" t="s">
        <v>118</v>
      </c>
      <c r="C34" s="4"/>
      <c r="D34" s="5" t="s">
        <v>21</v>
      </c>
      <c r="E34" s="6" t="s">
        <v>22</v>
      </c>
      <c r="F34" s="13">
        <v>12054</v>
      </c>
      <c r="G34" s="4" t="s">
        <v>119</v>
      </c>
      <c r="H34" s="4" t="s">
        <v>27</v>
      </c>
      <c r="I34" s="4" t="s">
        <v>120</v>
      </c>
      <c r="J34" s="4" t="s">
        <v>121</v>
      </c>
      <c r="K34" s="7">
        <v>45555</v>
      </c>
      <c r="L34" s="4" t="s">
        <v>122</v>
      </c>
      <c r="M34" s="4" t="s">
        <v>27</v>
      </c>
      <c r="N34" s="4" t="s">
        <v>27</v>
      </c>
      <c r="O34" s="4" t="s">
        <v>27</v>
      </c>
    </row>
    <row r="35" spans="1:15" ht="15.75" x14ac:dyDescent="0.25">
      <c r="A35" s="4" t="s">
        <v>123</v>
      </c>
      <c r="B35" s="4" t="s">
        <v>124</v>
      </c>
      <c r="C35" s="4" t="s">
        <v>61</v>
      </c>
      <c r="D35" s="10" t="s">
        <v>53</v>
      </c>
      <c r="E35" s="12" t="s">
        <v>80</v>
      </c>
      <c r="F35" s="13">
        <v>4382.2700000000004</v>
      </c>
      <c r="G35" s="4" t="s">
        <v>125</v>
      </c>
      <c r="H35" s="4" t="s">
        <v>27</v>
      </c>
      <c r="I35" s="4" t="s">
        <v>126</v>
      </c>
      <c r="J35" s="4" t="s">
        <v>127</v>
      </c>
      <c r="K35" s="7">
        <v>45618</v>
      </c>
      <c r="L35" s="4" t="s">
        <v>128</v>
      </c>
      <c r="M35" s="4" t="s">
        <v>27</v>
      </c>
      <c r="N35" s="7">
        <v>45621</v>
      </c>
      <c r="O35" s="4" t="s">
        <v>27</v>
      </c>
    </row>
    <row r="36" spans="1:15" ht="15.75" x14ac:dyDescent="0.25">
      <c r="A36" s="4" t="s">
        <v>129</v>
      </c>
      <c r="B36" s="4" t="s">
        <v>130</v>
      </c>
      <c r="C36" s="4" t="s">
        <v>61</v>
      </c>
      <c r="D36" s="10" t="s">
        <v>53</v>
      </c>
      <c r="E36" s="12" t="s">
        <v>80</v>
      </c>
      <c r="F36" s="13">
        <v>22008.5</v>
      </c>
      <c r="G36" s="4" t="s">
        <v>131</v>
      </c>
      <c r="H36" s="4" t="s">
        <v>27</v>
      </c>
      <c r="I36" s="4" t="s">
        <v>132</v>
      </c>
      <c r="J36" s="4" t="s">
        <v>27</v>
      </c>
      <c r="K36" s="7">
        <v>45121</v>
      </c>
      <c r="L36" s="4" t="s">
        <v>133</v>
      </c>
      <c r="M36" s="4" t="s">
        <v>27</v>
      </c>
      <c r="N36" s="4" t="s">
        <v>27</v>
      </c>
      <c r="O36" s="4" t="s">
        <v>58</v>
      </c>
    </row>
    <row r="37" spans="1:15" ht="15.75" x14ac:dyDescent="0.25">
      <c r="A37" s="4" t="s">
        <v>134</v>
      </c>
      <c r="B37" s="4" t="s">
        <v>135</v>
      </c>
      <c r="C37" s="4" t="s">
        <v>61</v>
      </c>
      <c r="D37" s="10" t="s">
        <v>53</v>
      </c>
      <c r="E37" s="12" t="s">
        <v>80</v>
      </c>
      <c r="F37" s="13">
        <v>27607.59</v>
      </c>
      <c r="G37" s="4" t="s">
        <v>136</v>
      </c>
      <c r="H37" s="4" t="s">
        <v>27</v>
      </c>
      <c r="I37" s="4" t="s">
        <v>137</v>
      </c>
      <c r="J37" s="4" t="s">
        <v>27</v>
      </c>
      <c r="K37" s="7">
        <v>45810</v>
      </c>
      <c r="L37" s="4" t="s">
        <v>138</v>
      </c>
      <c r="M37" s="4" t="s">
        <v>27</v>
      </c>
      <c r="N37" s="4" t="s">
        <v>27</v>
      </c>
      <c r="O37" s="4" t="s">
        <v>27</v>
      </c>
    </row>
    <row r="38" spans="1:15" ht="15.75" x14ac:dyDescent="0.25">
      <c r="A38" s="4" t="s">
        <v>139</v>
      </c>
      <c r="B38" s="4" t="s">
        <v>140</v>
      </c>
      <c r="C38" s="4" t="s">
        <v>61</v>
      </c>
      <c r="D38" s="10" t="s">
        <v>53</v>
      </c>
      <c r="E38" s="6" t="s">
        <v>22</v>
      </c>
      <c r="F38" s="13">
        <v>1011.81</v>
      </c>
      <c r="G38" s="4" t="s">
        <v>141</v>
      </c>
      <c r="H38" s="4" t="s">
        <v>27</v>
      </c>
      <c r="I38" s="4" t="s">
        <v>142</v>
      </c>
      <c r="J38" s="4" t="s">
        <v>143</v>
      </c>
      <c r="K38" s="7">
        <v>45835</v>
      </c>
      <c r="L38" s="4" t="s">
        <v>144</v>
      </c>
      <c r="M38" s="4" t="s">
        <v>27</v>
      </c>
      <c r="N38" s="7">
        <v>45845</v>
      </c>
      <c r="O38" s="4" t="s">
        <v>27</v>
      </c>
    </row>
    <row r="39" spans="1:15" ht="15.75" x14ac:dyDescent="0.25">
      <c r="A39" s="4" t="s">
        <v>145</v>
      </c>
      <c r="B39" s="4" t="s">
        <v>146</v>
      </c>
      <c r="C39" s="4" t="s">
        <v>61</v>
      </c>
      <c r="D39" s="10" t="s">
        <v>53</v>
      </c>
      <c r="E39" s="6" t="s">
        <v>22</v>
      </c>
      <c r="F39" s="13">
        <v>4175.42</v>
      </c>
      <c r="G39" s="4" t="s">
        <v>147</v>
      </c>
      <c r="H39" s="4" t="s">
        <v>27</v>
      </c>
      <c r="I39" s="4" t="s">
        <v>148</v>
      </c>
      <c r="J39" s="4" t="s">
        <v>27</v>
      </c>
      <c r="K39" s="7">
        <v>45825</v>
      </c>
      <c r="L39" s="4" t="s">
        <v>149</v>
      </c>
      <c r="M39" s="4" t="s">
        <v>27</v>
      </c>
      <c r="N39" s="4" t="s">
        <v>27</v>
      </c>
      <c r="O39" s="4" t="s">
        <v>150</v>
      </c>
    </row>
    <row r="40" spans="1:15" ht="15.75" x14ac:dyDescent="0.25">
      <c r="A40" s="4" t="s">
        <v>151</v>
      </c>
      <c r="B40" s="4" t="s">
        <v>152</v>
      </c>
      <c r="C40" s="4" t="s">
        <v>61</v>
      </c>
      <c r="D40" s="10" t="s">
        <v>53</v>
      </c>
      <c r="E40" s="6" t="s">
        <v>22</v>
      </c>
      <c r="F40" s="13">
        <v>1233.99</v>
      </c>
      <c r="G40" s="4" t="s">
        <v>153</v>
      </c>
      <c r="H40" s="4" t="s">
        <v>27</v>
      </c>
      <c r="I40" s="4" t="s">
        <v>154</v>
      </c>
      <c r="J40" s="4" t="s">
        <v>155</v>
      </c>
      <c r="K40" s="7">
        <v>45583</v>
      </c>
      <c r="L40" s="4" t="s">
        <v>156</v>
      </c>
      <c r="M40" s="4" t="s">
        <v>27</v>
      </c>
      <c r="N40" s="7">
        <v>45618</v>
      </c>
      <c r="O40" s="4" t="s">
        <v>27</v>
      </c>
    </row>
    <row r="41" spans="1:15" ht="15.75" x14ac:dyDescent="0.25">
      <c r="A41" s="4" t="s">
        <v>157</v>
      </c>
      <c r="B41" s="4" t="s">
        <v>158</v>
      </c>
      <c r="C41" s="4" t="s">
        <v>61</v>
      </c>
      <c r="D41" s="10" t="s">
        <v>53</v>
      </c>
      <c r="E41" s="6" t="s">
        <v>22</v>
      </c>
      <c r="F41" s="13">
        <v>34414.57</v>
      </c>
      <c r="G41" s="4" t="s">
        <v>159</v>
      </c>
      <c r="H41" s="4" t="s">
        <v>27</v>
      </c>
      <c r="I41" s="4" t="s">
        <v>160</v>
      </c>
      <c r="J41" s="4" t="s">
        <v>161</v>
      </c>
      <c r="K41" s="7">
        <v>45936</v>
      </c>
      <c r="L41" s="4" t="s">
        <v>162</v>
      </c>
      <c r="M41" s="4" t="b">
        <v>1</v>
      </c>
      <c r="N41" s="4" t="s">
        <v>27</v>
      </c>
      <c r="O41" s="4" t="s">
        <v>27</v>
      </c>
    </row>
    <row r="42" spans="1:15" ht="15.75" x14ac:dyDescent="0.25">
      <c r="A42" s="4" t="s">
        <v>163</v>
      </c>
      <c r="B42" s="4" t="s">
        <v>164</v>
      </c>
      <c r="C42" s="4" t="s">
        <v>61</v>
      </c>
      <c r="D42" s="5" t="s">
        <v>21</v>
      </c>
      <c r="E42" s="6" t="s">
        <v>22</v>
      </c>
      <c r="F42" s="13">
        <v>6922</v>
      </c>
      <c r="G42" s="4" t="s">
        <v>165</v>
      </c>
      <c r="H42" s="4" t="s">
        <v>27</v>
      </c>
      <c r="I42" s="4" t="s">
        <v>166</v>
      </c>
      <c r="J42" s="4" t="s">
        <v>167</v>
      </c>
      <c r="K42" s="7">
        <v>45149</v>
      </c>
      <c r="L42" s="4" t="s">
        <v>168</v>
      </c>
      <c r="M42" s="4" t="s">
        <v>27</v>
      </c>
      <c r="N42" s="4" t="s">
        <v>27</v>
      </c>
      <c r="O42" s="4" t="s">
        <v>38</v>
      </c>
    </row>
    <row r="43" spans="1:15" ht="15.75" x14ac:dyDescent="0.25">
      <c r="A43" s="4" t="s">
        <v>169</v>
      </c>
      <c r="B43" s="4" t="s">
        <v>170</v>
      </c>
      <c r="C43" s="4" t="s">
        <v>61</v>
      </c>
      <c r="D43" s="5" t="s">
        <v>21</v>
      </c>
      <c r="E43" s="12" t="s">
        <v>80</v>
      </c>
      <c r="F43" s="13">
        <v>1357.38</v>
      </c>
      <c r="G43" s="4" t="s">
        <v>171</v>
      </c>
      <c r="H43" s="4" t="s">
        <v>27</v>
      </c>
      <c r="I43" s="4" t="s">
        <v>172</v>
      </c>
      <c r="J43" s="4" t="s">
        <v>27</v>
      </c>
      <c r="K43" s="7">
        <v>45826</v>
      </c>
      <c r="L43" s="4" t="s">
        <v>173</v>
      </c>
      <c r="M43" s="4" t="s">
        <v>27</v>
      </c>
      <c r="N43" s="4" t="s">
        <v>27</v>
      </c>
      <c r="O43" s="4" t="s">
        <v>58</v>
      </c>
    </row>
    <row r="44" spans="1:15" ht="15.75" x14ac:dyDescent="0.25">
      <c r="A44" s="4" t="s">
        <v>174</v>
      </c>
      <c r="B44" s="4" t="s">
        <v>175</v>
      </c>
      <c r="C44" s="4"/>
      <c r="D44" s="5" t="s">
        <v>21</v>
      </c>
      <c r="E44" s="12" t="s">
        <v>80</v>
      </c>
      <c r="F44" s="13">
        <v>12540.83</v>
      </c>
      <c r="G44" s="4" t="s">
        <v>176</v>
      </c>
      <c r="H44" s="4" t="s">
        <v>27</v>
      </c>
      <c r="I44" s="4" t="s">
        <v>177</v>
      </c>
      <c r="J44" s="4" t="s">
        <v>27</v>
      </c>
      <c r="K44" s="7">
        <v>45548</v>
      </c>
      <c r="L44" s="4" t="s">
        <v>26</v>
      </c>
      <c r="M44" s="4" t="s">
        <v>27</v>
      </c>
      <c r="N44" s="7">
        <v>45800</v>
      </c>
      <c r="O44" s="4" t="s">
        <v>38</v>
      </c>
    </row>
    <row r="45" spans="1:15" ht="15.75" x14ac:dyDescent="0.25">
      <c r="A45" s="4" t="s">
        <v>178</v>
      </c>
      <c r="B45" s="4" t="s">
        <v>179</v>
      </c>
      <c r="C45" s="4"/>
      <c r="D45" s="5" t="s">
        <v>21</v>
      </c>
      <c r="E45" s="12" t="s">
        <v>80</v>
      </c>
      <c r="F45" s="13">
        <v>746.82</v>
      </c>
      <c r="G45" s="4" t="s">
        <v>180</v>
      </c>
      <c r="H45" s="4" t="s">
        <v>27</v>
      </c>
      <c r="I45" s="4" t="s">
        <v>181</v>
      </c>
      <c r="J45" s="4" t="s">
        <v>27</v>
      </c>
      <c r="K45" s="4" t="s">
        <v>27</v>
      </c>
      <c r="L45" s="4" t="s">
        <v>57</v>
      </c>
      <c r="M45" s="4" t="s">
        <v>27</v>
      </c>
      <c r="N45" s="4" t="s">
        <v>27</v>
      </c>
      <c r="O45" s="4" t="s">
        <v>27</v>
      </c>
    </row>
    <row r="46" spans="1:15" ht="15.75" x14ac:dyDescent="0.25">
      <c r="A46" s="4" t="s">
        <v>182</v>
      </c>
      <c r="B46" s="4" t="s">
        <v>183</v>
      </c>
      <c r="C46" s="4"/>
      <c r="D46" s="5" t="s">
        <v>21</v>
      </c>
      <c r="E46" s="12" t="s">
        <v>80</v>
      </c>
      <c r="F46" s="13">
        <v>48267.96</v>
      </c>
      <c r="G46" s="4" t="s">
        <v>184</v>
      </c>
      <c r="H46" s="4" t="s">
        <v>27</v>
      </c>
      <c r="I46" s="4" t="s">
        <v>177</v>
      </c>
      <c r="J46" s="4" t="s">
        <v>27</v>
      </c>
      <c r="K46" s="7">
        <v>45785</v>
      </c>
      <c r="L46" s="4" t="s">
        <v>26</v>
      </c>
      <c r="M46" s="4" t="s">
        <v>27</v>
      </c>
      <c r="N46" s="7">
        <v>45796</v>
      </c>
      <c r="O46" s="4" t="s">
        <v>38</v>
      </c>
    </row>
    <row r="47" spans="1:15" ht="15.75" x14ac:dyDescent="0.25">
      <c r="A47" s="4" t="s">
        <v>185</v>
      </c>
      <c r="B47" s="4" t="s">
        <v>186</v>
      </c>
      <c r="C47" s="4"/>
      <c r="D47" s="5" t="s">
        <v>21</v>
      </c>
      <c r="E47" s="12" t="s">
        <v>80</v>
      </c>
      <c r="F47" s="13">
        <v>1357</v>
      </c>
      <c r="G47" s="4" t="s">
        <v>171</v>
      </c>
      <c r="H47" s="4" t="s">
        <v>27</v>
      </c>
      <c r="I47" s="4" t="s">
        <v>187</v>
      </c>
      <c r="J47" s="4" t="s">
        <v>27</v>
      </c>
      <c r="K47" s="7">
        <v>45826</v>
      </c>
      <c r="L47" s="4" t="s">
        <v>173</v>
      </c>
      <c r="M47" s="4" t="s">
        <v>27</v>
      </c>
      <c r="N47" s="4" t="s">
        <v>27</v>
      </c>
      <c r="O47" s="4" t="s">
        <v>58</v>
      </c>
    </row>
    <row r="48" spans="1:15" ht="15.75" x14ac:dyDescent="0.25">
      <c r="A48" s="4" t="s">
        <v>188</v>
      </c>
      <c r="B48" s="4" t="s">
        <v>189</v>
      </c>
      <c r="C48" s="4"/>
      <c r="D48" s="5" t="s">
        <v>21</v>
      </c>
      <c r="E48" s="12" t="s">
        <v>80</v>
      </c>
      <c r="F48" s="13">
        <v>20064.71</v>
      </c>
      <c r="G48" s="4" t="s">
        <v>190</v>
      </c>
      <c r="H48" s="4" t="s">
        <v>27</v>
      </c>
      <c r="I48" s="4" t="s">
        <v>191</v>
      </c>
      <c r="J48" s="4" t="s">
        <v>27</v>
      </c>
      <c r="K48" s="7">
        <v>45694</v>
      </c>
      <c r="L48" s="4" t="s">
        <v>192</v>
      </c>
      <c r="M48" s="4" t="s">
        <v>27</v>
      </c>
      <c r="N48" s="4" t="s">
        <v>27</v>
      </c>
      <c r="O48" s="4" t="s">
        <v>27</v>
      </c>
    </row>
    <row r="49" spans="1:15" ht="15.75" x14ac:dyDescent="0.25">
      <c r="A49" s="4" t="s">
        <v>193</v>
      </c>
      <c r="B49" s="4" t="s">
        <v>194</v>
      </c>
      <c r="C49" s="4" t="s">
        <v>27</v>
      </c>
      <c r="D49" s="5" t="s">
        <v>21</v>
      </c>
      <c r="E49" s="6" t="s">
        <v>22</v>
      </c>
      <c r="F49" s="13">
        <v>11244.94</v>
      </c>
      <c r="G49" s="4" t="s">
        <v>195</v>
      </c>
      <c r="H49" s="4" t="s">
        <v>27</v>
      </c>
      <c r="I49" s="4" t="s">
        <v>196</v>
      </c>
      <c r="J49" s="4" t="s">
        <v>197</v>
      </c>
      <c r="K49" s="7">
        <v>46028</v>
      </c>
      <c r="L49" s="4" t="s">
        <v>192</v>
      </c>
      <c r="M49" s="4" t="s">
        <v>27</v>
      </c>
      <c r="N49" s="7">
        <v>46035</v>
      </c>
      <c r="O49" s="4" t="s">
        <v>198</v>
      </c>
    </row>
    <row r="50" spans="1:15" ht="15.75" x14ac:dyDescent="0.25">
      <c r="A50" s="4" t="s">
        <v>199</v>
      </c>
      <c r="B50" s="4" t="s">
        <v>200</v>
      </c>
      <c r="C50" s="4" t="s">
        <v>27</v>
      </c>
      <c r="D50" s="5" t="s">
        <v>21</v>
      </c>
      <c r="E50" s="6" t="s">
        <v>22</v>
      </c>
      <c r="F50" s="13">
        <v>909.16</v>
      </c>
      <c r="G50" s="4" t="s">
        <v>201</v>
      </c>
      <c r="H50" s="4" t="s">
        <v>27</v>
      </c>
      <c r="I50" s="4" t="s">
        <v>27</v>
      </c>
      <c r="J50" s="4" t="s">
        <v>202</v>
      </c>
      <c r="K50" s="4" t="s">
        <v>27</v>
      </c>
      <c r="L50" s="4" t="s">
        <v>27</v>
      </c>
      <c r="M50" s="4" t="s">
        <v>27</v>
      </c>
      <c r="N50" s="7">
        <v>45965</v>
      </c>
      <c r="O50" s="4" t="s">
        <v>27</v>
      </c>
    </row>
    <row r="51" spans="1:15" ht="20.100000000000001" customHeight="1" x14ac:dyDescent="0.3">
      <c r="A51" s="19" t="s">
        <v>203</v>
      </c>
      <c r="B51" s="20"/>
      <c r="F51" s="14"/>
    </row>
    <row r="52" spans="1:15" ht="15.75" x14ac:dyDescent="0.2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15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1:15" ht="15.75" x14ac:dyDescent="0.25">
      <c r="A53" s="4" t="s">
        <v>204</v>
      </c>
      <c r="B53" s="4" t="s">
        <v>205</v>
      </c>
      <c r="C53" s="4" t="s">
        <v>61</v>
      </c>
      <c r="D53" s="5" t="s">
        <v>21</v>
      </c>
      <c r="E53" s="6" t="s">
        <v>22</v>
      </c>
      <c r="F53" s="13">
        <v>5332</v>
      </c>
      <c r="G53" s="4" t="s">
        <v>206</v>
      </c>
      <c r="H53" s="4" t="s">
        <v>27</v>
      </c>
      <c r="I53" s="4" t="s">
        <v>207</v>
      </c>
      <c r="J53" s="4" t="s">
        <v>208</v>
      </c>
      <c r="K53" s="7">
        <v>45050</v>
      </c>
      <c r="L53" s="4" t="s">
        <v>209</v>
      </c>
      <c r="M53" s="4" t="s">
        <v>27</v>
      </c>
      <c r="N53" s="4" t="s">
        <v>27</v>
      </c>
      <c r="O53" s="4" t="s">
        <v>38</v>
      </c>
    </row>
    <row r="54" spans="1:15" ht="15.75" x14ac:dyDescent="0.25">
      <c r="A54" s="4" t="s">
        <v>210</v>
      </c>
      <c r="B54" s="4" t="s">
        <v>211</v>
      </c>
      <c r="C54" s="4" t="s">
        <v>27</v>
      </c>
      <c r="D54" s="4" t="s">
        <v>27</v>
      </c>
      <c r="E54" s="4" t="s">
        <v>27</v>
      </c>
      <c r="F54" s="13">
        <v>2216.36</v>
      </c>
      <c r="G54" s="4" t="s">
        <v>27</v>
      </c>
      <c r="H54" s="4" t="s">
        <v>27</v>
      </c>
      <c r="I54" s="4" t="s">
        <v>212</v>
      </c>
      <c r="J54" s="4" t="s">
        <v>27</v>
      </c>
      <c r="K54" s="7">
        <v>45457</v>
      </c>
      <c r="L54" s="4" t="s">
        <v>27</v>
      </c>
      <c r="M54" s="4" t="s">
        <v>27</v>
      </c>
      <c r="N54" s="4" t="s">
        <v>27</v>
      </c>
      <c r="O54" s="4" t="s">
        <v>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7D7C-0AC1-47FF-B82E-8F2092CDA903}">
  <dimension ref="A1:P8"/>
  <sheetViews>
    <sheetView workbookViewId="0">
      <selection activeCell="H6" sqref="H6"/>
    </sheetView>
  </sheetViews>
  <sheetFormatPr defaultRowHeight="15" x14ac:dyDescent="0.25"/>
  <cols>
    <col min="1" max="1" width="0.42578125" customWidth="1"/>
    <col min="2" max="2" width="27.85546875" customWidth="1"/>
    <col min="3" max="3" width="28" customWidth="1"/>
    <col min="4" max="4" width="23.42578125" customWidth="1"/>
    <col min="5" max="5" width="25.5703125" customWidth="1"/>
    <col min="6" max="7" width="28.5703125" customWidth="1"/>
    <col min="8" max="8" width="41" customWidth="1"/>
    <col min="9" max="9" width="29" customWidth="1"/>
    <col min="10" max="10" width="23" customWidth="1"/>
    <col min="11" max="12" width="36.42578125" customWidth="1"/>
    <col min="13" max="13" width="27.42578125" customWidth="1"/>
    <col min="14" max="14" width="41" customWidth="1"/>
    <col min="15" max="15" width="38" customWidth="1"/>
    <col min="16" max="16" width="47" customWidth="1"/>
  </cols>
  <sheetData>
    <row r="1" spans="1:16" ht="20.100000000000001" customHeight="1" x14ac:dyDescent="0.3">
      <c r="A1" s="8" t="s">
        <v>17</v>
      </c>
      <c r="B1" s="8" t="s">
        <v>213</v>
      </c>
      <c r="F1" s="14"/>
      <c r="G1" s="14"/>
    </row>
    <row r="2" spans="1:16" s="24" customFormat="1" ht="15.75" x14ac:dyDescent="0.25">
      <c r="A2" s="22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3" t="s">
        <v>214</v>
      </c>
      <c r="G2" s="23" t="s">
        <v>215</v>
      </c>
      <c r="H2" s="22" t="s">
        <v>8</v>
      </c>
      <c r="I2" s="22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22" t="s">
        <v>14</v>
      </c>
      <c r="O2" s="22" t="s">
        <v>15</v>
      </c>
      <c r="P2" s="22" t="s">
        <v>16</v>
      </c>
    </row>
    <row r="3" spans="1:16" ht="15.75" x14ac:dyDescent="0.25">
      <c r="A3" s="4" t="s">
        <v>216</v>
      </c>
      <c r="B3" s="4" t="s">
        <v>217</v>
      </c>
      <c r="C3" s="4" t="s">
        <v>20</v>
      </c>
      <c r="D3" s="5" t="s">
        <v>21</v>
      </c>
      <c r="E3" s="6" t="s">
        <v>22</v>
      </c>
      <c r="F3" s="13">
        <v>1623.8</v>
      </c>
      <c r="G3" s="13">
        <v>1956.5</v>
      </c>
      <c r="H3" s="4" t="s">
        <v>218</v>
      </c>
      <c r="I3" s="7">
        <v>45992</v>
      </c>
      <c r="J3" s="4" t="s">
        <v>219</v>
      </c>
      <c r="K3" s="4" t="s">
        <v>25</v>
      </c>
      <c r="L3" s="4" t="s">
        <v>27</v>
      </c>
      <c r="M3" s="4" t="s">
        <v>26</v>
      </c>
      <c r="N3" s="4" t="s">
        <v>27</v>
      </c>
      <c r="O3" s="7">
        <v>45597</v>
      </c>
      <c r="P3" s="4" t="s">
        <v>27</v>
      </c>
    </row>
    <row r="4" spans="1:16" ht="15.75" x14ac:dyDescent="0.25">
      <c r="A4" s="4" t="s">
        <v>220</v>
      </c>
      <c r="B4" s="4" t="s">
        <v>221</v>
      </c>
      <c r="C4" s="4" t="s">
        <v>20</v>
      </c>
      <c r="D4" s="5" t="s">
        <v>21</v>
      </c>
      <c r="E4" s="6" t="s">
        <v>22</v>
      </c>
      <c r="F4" s="13">
        <v>36755</v>
      </c>
      <c r="G4" s="13">
        <v>45540.56</v>
      </c>
      <c r="H4" s="4" t="s">
        <v>251</v>
      </c>
      <c r="I4" s="7">
        <v>45992</v>
      </c>
      <c r="J4" s="4" t="s">
        <v>222</v>
      </c>
      <c r="K4" s="4" t="s">
        <v>32</v>
      </c>
      <c r="L4" s="7">
        <v>45421</v>
      </c>
      <c r="M4" s="4" t="s">
        <v>26</v>
      </c>
      <c r="N4" s="4" t="s">
        <v>27</v>
      </c>
      <c r="O4" s="7">
        <v>45460</v>
      </c>
      <c r="P4" s="4" t="s">
        <v>33</v>
      </c>
    </row>
    <row r="5" spans="1:16" ht="15.75" x14ac:dyDescent="0.25">
      <c r="A5" s="4" t="s">
        <v>223</v>
      </c>
      <c r="B5" s="4" t="s">
        <v>224</v>
      </c>
      <c r="C5" s="4" t="s">
        <v>20</v>
      </c>
      <c r="D5" s="5" t="s">
        <v>21</v>
      </c>
      <c r="E5" s="6" t="s">
        <v>22</v>
      </c>
      <c r="F5" s="13">
        <v>51258</v>
      </c>
      <c r="G5" s="13">
        <v>63509.24</v>
      </c>
      <c r="H5" s="4" t="s">
        <v>225</v>
      </c>
      <c r="I5" s="7">
        <v>45992</v>
      </c>
      <c r="J5" s="4" t="s">
        <v>226</v>
      </c>
      <c r="K5" s="4" t="s">
        <v>32</v>
      </c>
      <c r="L5" s="7">
        <v>45421</v>
      </c>
      <c r="M5" s="4" t="s">
        <v>26</v>
      </c>
      <c r="N5" s="4" t="s">
        <v>27</v>
      </c>
      <c r="O5" s="7">
        <v>45460</v>
      </c>
      <c r="P5" s="4" t="s">
        <v>33</v>
      </c>
    </row>
    <row r="6" spans="1:16" ht="15.75" x14ac:dyDescent="0.25">
      <c r="A6" s="4" t="s">
        <v>227</v>
      </c>
      <c r="B6" s="4" t="s">
        <v>228</v>
      </c>
      <c r="C6" s="4" t="s">
        <v>61</v>
      </c>
      <c r="D6" s="5" t="s">
        <v>21</v>
      </c>
      <c r="E6" s="6" t="s">
        <v>22</v>
      </c>
      <c r="F6" s="13">
        <v>1351.13</v>
      </c>
      <c r="G6" s="13">
        <v>1448.89</v>
      </c>
      <c r="H6" s="4" t="s">
        <v>252</v>
      </c>
      <c r="I6" s="4" t="s">
        <v>27</v>
      </c>
      <c r="J6" s="4" t="s">
        <v>229</v>
      </c>
      <c r="K6" s="4" t="s">
        <v>230</v>
      </c>
      <c r="L6" s="7">
        <v>45386</v>
      </c>
      <c r="M6" s="4" t="s">
        <v>26</v>
      </c>
      <c r="N6" s="4" t="s">
        <v>27</v>
      </c>
      <c r="O6" s="4" t="s">
        <v>27</v>
      </c>
      <c r="P6" s="4" t="s">
        <v>27</v>
      </c>
    </row>
    <row r="7" spans="1:16" ht="15.75" x14ac:dyDescent="0.25">
      <c r="A7" s="4" t="s">
        <v>28</v>
      </c>
      <c r="B7" s="4" t="s">
        <v>29</v>
      </c>
      <c r="C7" s="4" t="s">
        <v>20</v>
      </c>
      <c r="D7" s="5" t="s">
        <v>21</v>
      </c>
      <c r="E7" s="6" t="s">
        <v>22</v>
      </c>
      <c r="F7" s="13">
        <v>3386</v>
      </c>
      <c r="G7" s="13">
        <v>4196.18</v>
      </c>
      <c r="H7" s="4" t="s">
        <v>30</v>
      </c>
      <c r="I7" s="7">
        <v>45992</v>
      </c>
      <c r="J7" s="4" t="s">
        <v>31</v>
      </c>
      <c r="K7" s="4" t="s">
        <v>32</v>
      </c>
      <c r="L7" s="7">
        <v>45420</v>
      </c>
      <c r="M7" s="4" t="s">
        <v>26</v>
      </c>
      <c r="N7" s="4" t="s">
        <v>27</v>
      </c>
      <c r="O7" s="7">
        <v>45460</v>
      </c>
      <c r="P7" s="4" t="s">
        <v>33</v>
      </c>
    </row>
    <row r="8" spans="1:16" ht="15.75" x14ac:dyDescent="0.25">
      <c r="F8" s="25">
        <f>SUM(F3:F6)</f>
        <v>90987.930000000008</v>
      </c>
      <c r="G8" s="25">
        <f>SUM(G3:G7)</f>
        <v>116651.37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2BE6-AA28-4EA5-A02C-D81D486740AA}">
  <dimension ref="A1:O8"/>
  <sheetViews>
    <sheetView workbookViewId="0">
      <selection activeCell="G15" sqref="G15"/>
    </sheetView>
  </sheetViews>
  <sheetFormatPr defaultRowHeight="15" x14ac:dyDescent="0.25"/>
  <cols>
    <col min="1" max="1" width="0.42578125" customWidth="1"/>
    <col min="2" max="2" width="36.42578125" customWidth="1"/>
    <col min="3" max="3" width="24" customWidth="1"/>
    <col min="4" max="4" width="15.5703125" customWidth="1"/>
    <col min="5" max="5" width="12" customWidth="1"/>
    <col min="6" max="6" width="20.85546875" customWidth="1"/>
    <col min="7" max="7" width="34.85546875" customWidth="1"/>
    <col min="8" max="8" width="9.5703125" customWidth="1"/>
    <col min="9" max="9" width="71.140625" customWidth="1"/>
    <col min="10" max="10" width="22.5703125" customWidth="1"/>
    <col min="11" max="11" width="22.85546875" customWidth="1"/>
    <col min="12" max="12" width="20.140625" customWidth="1"/>
  </cols>
  <sheetData>
    <row r="1" spans="1:15" ht="50.1" customHeight="1" x14ac:dyDescent="0.25"/>
    <row r="2" spans="1:15" ht="30" customHeight="1" x14ac:dyDescent="0.3">
      <c r="A2" s="1" t="s">
        <v>0</v>
      </c>
    </row>
    <row r="3" spans="1:15" ht="20.100000000000001" customHeight="1" x14ac:dyDescent="0.3">
      <c r="A3" s="2" t="s">
        <v>231</v>
      </c>
    </row>
    <row r="4" spans="1:15" ht="15.7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15.75" x14ac:dyDescent="0.25">
      <c r="A5" s="4" t="s">
        <v>232</v>
      </c>
      <c r="B5" s="4" t="s">
        <v>233</v>
      </c>
      <c r="C5" s="4"/>
      <c r="D5" s="5" t="s">
        <v>21</v>
      </c>
      <c r="E5" s="6" t="s">
        <v>22</v>
      </c>
      <c r="F5" s="13">
        <v>4004</v>
      </c>
      <c r="G5" s="4" t="s">
        <v>234</v>
      </c>
      <c r="H5" s="4" t="s">
        <v>27</v>
      </c>
      <c r="I5" s="4" t="s">
        <v>235</v>
      </c>
      <c r="J5" s="4" t="s">
        <v>27</v>
      </c>
      <c r="K5" s="7">
        <v>44868</v>
      </c>
      <c r="L5" s="4" t="s">
        <v>236</v>
      </c>
      <c r="M5" s="4" t="s">
        <v>27</v>
      </c>
      <c r="N5" s="4" t="s">
        <v>27</v>
      </c>
      <c r="O5" s="4" t="s">
        <v>27</v>
      </c>
    </row>
    <row r="6" spans="1:15" ht="15.75" x14ac:dyDescent="0.25">
      <c r="A6" s="4" t="s">
        <v>237</v>
      </c>
      <c r="B6" s="4" t="s">
        <v>238</v>
      </c>
      <c r="C6" s="4" t="s">
        <v>61</v>
      </c>
      <c r="D6" s="5" t="s">
        <v>21</v>
      </c>
      <c r="E6" s="6" t="s">
        <v>22</v>
      </c>
      <c r="F6" s="13">
        <v>11562.6</v>
      </c>
      <c r="G6" s="4" t="s">
        <v>239</v>
      </c>
      <c r="H6" s="4" t="s">
        <v>27</v>
      </c>
      <c r="I6" s="4" t="s">
        <v>240</v>
      </c>
      <c r="J6" s="4" t="s">
        <v>27</v>
      </c>
      <c r="K6" s="7">
        <v>45685</v>
      </c>
      <c r="L6" s="4" t="s">
        <v>43</v>
      </c>
      <c r="M6" s="4" t="s">
        <v>27</v>
      </c>
      <c r="N6" s="4" t="s">
        <v>27</v>
      </c>
      <c r="O6" s="4" t="s">
        <v>27</v>
      </c>
    </row>
    <row r="7" spans="1:15" ht="15.75" x14ac:dyDescent="0.25">
      <c r="A7" s="4" t="s">
        <v>241</v>
      </c>
      <c r="B7" s="4" t="s">
        <v>242</v>
      </c>
      <c r="C7" s="4" t="s">
        <v>61</v>
      </c>
      <c r="D7" s="5" t="s">
        <v>21</v>
      </c>
      <c r="E7" s="6" t="s">
        <v>22</v>
      </c>
      <c r="F7" s="13">
        <v>691</v>
      </c>
      <c r="G7" s="4" t="s">
        <v>243</v>
      </c>
      <c r="H7" s="7"/>
      <c r="I7" s="4" t="s">
        <v>244</v>
      </c>
      <c r="J7" s="4" t="s">
        <v>245</v>
      </c>
      <c r="K7" s="7">
        <v>44994</v>
      </c>
      <c r="L7" s="4" t="s">
        <v>26</v>
      </c>
      <c r="M7" s="4" t="s">
        <v>27</v>
      </c>
      <c r="N7" s="4" t="s">
        <v>27</v>
      </c>
      <c r="O7" s="4" t="s">
        <v>38</v>
      </c>
    </row>
    <row r="8" spans="1:15" ht="15.75" x14ac:dyDescent="0.25">
      <c r="A8" s="4" t="s">
        <v>246</v>
      </c>
      <c r="B8" s="4" t="s">
        <v>247</v>
      </c>
      <c r="C8" s="4" t="s">
        <v>61</v>
      </c>
      <c r="D8" s="5" t="s">
        <v>21</v>
      </c>
      <c r="E8" s="6" t="s">
        <v>22</v>
      </c>
      <c r="F8" s="13">
        <v>3619.66</v>
      </c>
      <c r="G8" s="4" t="s">
        <v>248</v>
      </c>
      <c r="H8" s="7"/>
      <c r="I8" s="4" t="s">
        <v>249</v>
      </c>
      <c r="J8" s="4" t="s">
        <v>250</v>
      </c>
      <c r="K8" s="7">
        <v>45404</v>
      </c>
      <c r="L8" s="4" t="s">
        <v>26</v>
      </c>
      <c r="M8" s="4" t="s">
        <v>27</v>
      </c>
      <c r="N8" s="4" t="s">
        <v>27</v>
      </c>
      <c r="O8" s="4" t="s">
        <v>27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4D6D2A372BFD44AF557D3A94F0EFA7" ma:contentTypeVersion="20" ma:contentTypeDescription="Crie um novo documento." ma:contentTypeScope="" ma:versionID="dc7ba788cedbd079a2c646bc26d4c7cd">
  <xsd:schema xmlns:xsd="http://www.w3.org/2001/XMLSchema" xmlns:xs="http://www.w3.org/2001/XMLSchema" xmlns:p="http://schemas.microsoft.com/office/2006/metadata/properties" xmlns:ns2="362671c1-e20f-4804-b2c2-a1cc3b20812d" xmlns:ns3="9335dc28-f6eb-48ac-8530-bb4905df29fc" targetNamespace="http://schemas.microsoft.com/office/2006/metadata/properties" ma:root="true" ma:fieldsID="46f17995499cf99d40056b9aafc6278b" ns2:_="" ns3:_="">
    <xsd:import namespace="362671c1-e20f-4804-b2c2-a1cc3b20812d"/>
    <xsd:import namespace="9335dc28-f6eb-48ac-8530-bb4905df29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671c1-e20f-4804-b2c2-a1cc3b20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83c6f9-aef2-4db0-a32f-5bb5ec9b3e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5dc28-f6eb-48ac-8530-bb4905df29f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04a585-746e-4063-9e8b-cfc6337417b9}" ma:internalName="TaxCatchAll" ma:showField="CatchAllData" ma:web="9335dc28-f6eb-48ac-8530-bb4905df2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2671c1-e20f-4804-b2c2-a1cc3b20812d">
      <Terms xmlns="http://schemas.microsoft.com/office/infopath/2007/PartnerControls"/>
    </lcf76f155ced4ddcb4097134ff3c332f>
    <TaxCatchAll xmlns="9335dc28-f6eb-48ac-8530-bb4905df29fc" xsi:nil="true"/>
    <_Flow_SignoffStatus xmlns="362671c1-e20f-4804-b2c2-a1cc3b20812d" xsi:nil="true"/>
  </documentManagement>
</p:properties>
</file>

<file path=customXml/itemProps1.xml><?xml version="1.0" encoding="utf-8"?>
<ds:datastoreItem xmlns:ds="http://schemas.openxmlformats.org/officeDocument/2006/customXml" ds:itemID="{6AAF7FBA-BDB0-4F29-AB6C-7DA1542C6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671c1-e20f-4804-b2c2-a1cc3b20812d"/>
    <ds:schemaRef ds:uri="9335dc28-f6eb-48ac-8530-bb4905df2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F98EB7-64AF-4C2C-95FC-79AB5FFD5C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AE9D0F-75E7-40EE-8A5B-0BBA2341D48D}">
  <ds:schemaRefs>
    <ds:schemaRef ds:uri="http://schemas.microsoft.com/office/2006/metadata/properties"/>
    <ds:schemaRef ds:uri="http://schemas.microsoft.com/office/infopath/2007/PartnerControls"/>
    <ds:schemaRef ds:uri="362671c1-e20f-4804-b2c2-a1cc3b20812d"/>
    <ds:schemaRef ds:uri="9335dc28-f6eb-48ac-8530-bb4905df29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Ativos</vt:lpstr>
      <vt:lpstr>Concluídos</vt:lpstr>
      <vt:lpstr>Indeferidos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2026-03-20T20:04:22Z</dcterms:created>
  <dcterms:modified xsi:type="dcterms:W3CDTF">2026-04-16T17:17:24Z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0x010100B34D6D2A372BFD44AF557D3A94F0EFA7</vt:lpwstr>
  </property>
  <property fmtid="{D5CDD505-2E9C-101B-9397-08002B2CF9AE}" pid="3" name="MediaServiceImageTags">
    <vt:lpwstr/>
  </property>
</Properties>
</file>